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9efb6d7f0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1be3d264de4e18"/>
  </x:sheets>
</x:workbook>
</file>

<file path=xl/sharedStrings.xml><?xml version="1.0" encoding="utf-8"?>
<x:sst xmlns:x="http://schemas.openxmlformats.org/spreadsheetml/2006/main">
  <x:si>
    <x:t xml:space="preserve">N0-N5</x:t>
  </x:si>
  <x:si>
    <x:t xml:space="preserve">N5-N6</x:t>
  </x:si>
  <x:si>
    <x:t xml:space="preserve">Sample</x:t>
  </x:si>
  <x:si>
    <x:t xml:space="preserve">Odometry (mm)</x:t>
  </x:si>
  <x:si>
    <x:t xml:space="preserve">Euclidean</x:t>
  </x:si>
  <x:si>
    <x:t xml:space="preserve">Time (s)</x:t>
  </x:si>
  <x:si>
    <x:t xml:space="preserve">#</x:t>
  </x:si>
  <x:si>
    <x:t xml:space="preserve">x</x:t>
  </x:si>
  <x:si>
    <x:t xml:space="preserve">y</x:t>
  </x:si>
  <x:si>
    <x:t xml:space="preserve">d(x,y)</x:t>
  </x:si>
  <x:si>
    <x:t xml:space="preserve">t</x:t>
  </x:si>
  <x:si>
    <x:t xml:space="preserve">µ</x:t>
  </x:si>
  <x:si>
    <x:t xml:space="preserve">σ</x:t>
  </x:si>
  <x:si>
    <x:t xml:space="preserve">COV</x:t>
  </x:si>
  <x:si>
    <x:t xml:space="preserve">p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</x:si>
</x:sst>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2"/>
      <x:color theme="1"/>
      <x:name val="Calibri"/>
    </x:font>
    <x:font>
      <x:b/>
      <x:sz val="14"/>
      <x:color theme="1"/>
      <x:name val="Calibri"/>
    </x:font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2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2" fillId="0" borderId="0" xfId="0" applyFont="1" applyAlignment="1">
      <x:alignment horizontal="center" vertical="center"/>
    </x:xf>
    <x:xf numFmtId="0" fontId="1" fillId="0" borderId="0" xfId="0" applyFont="1"/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1" fillId="0" borderId="1" xfId="0" applyFont="1" applyBorder="1"/>
    <x:xf numFmtId="0" fontId="2" fillId="0" borderId="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1" fillId="0" borderId="18" xfId="0" applyFont="1" applyBorder="1"/>
    <x:xf numFmtId="0" fontId="2" fillId="0" borderId="18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/>
    </x:xf>
    <x:xf numFmtId="0" fontId="2" fillId="0" borderId="2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5dcf9ef9f4151" /><Relationship Type="http://schemas.openxmlformats.org/officeDocument/2006/relationships/theme" Target="/xl/theme/theme1.xml" Id="R0f7f3585dfe141e1" /><Relationship Type="http://schemas.openxmlformats.org/officeDocument/2006/relationships/sharedStrings" Target="/xl/sharedStrings.xml" Id="Rb2a71a07640b4a01" /><Relationship Type="http://schemas.openxmlformats.org/officeDocument/2006/relationships/worksheet" Target="/xl/worksheets/sheet1.xml" Id="Rb31be3d264de4e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d8fdfcd840433e" /><Relationship Type="http://schemas.openxmlformats.org/officeDocument/2006/relationships/chart" Target="/xl/drawings/charts/chart2.xml" Id="Re4031692dd94423d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Relation between phase one time and distance between final and desired position 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scatterChart>
        <c:scatterStyle val="lineMarker"/>
        <c:ser>
          <c:idx val="0"/>
          <c:order val="0"/>
          <c:spPr>
            <a:ln xmlns:a="http://schemas.openxmlformats.org/drawingml/2006/main" w="19050">
              <a:noFill/>
            </a:ln>
          </c:spPr>
          <c:marker>
            <c:symbol val="circle"/>
            <c:size val="5"/>
          </c:marker>
          <c:trendline>
            <c:spPr>
              <a:ln xmlns:a="http://schemas.openxmlformats.org/drawingml/2006/main" w="28575">
                <a:solidFill>
                  <a:srgbClr val="FF0000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Sheet1!$G$8:$G$17</c:f>
              <c:numCache>
                <c:formatCode>General</c:formatCode>
                <c:ptCount val="10"/>
                <c:pt idx="0">
                  <c:v>151.32745950421557</c:v>
                </c:pt>
                <c:pt idx="1">
                  <c:v>165.873445734994</c:v>
                </c:pt>
                <c:pt idx="2">
                  <c:v>143.68368035375485</c:v>
                </c:pt>
                <c:pt idx="3">
                  <c:v>152.41062955056645</c:v>
                </c:pt>
                <c:pt idx="4">
                  <c:v>160.37767924496225</c:v>
                </c:pt>
                <c:pt idx="5">
                  <c:v>162.77899127344412</c:v>
                </c:pt>
                <c:pt idx="6">
                  <c:v>61.29437168288782</c:v>
                </c:pt>
                <c:pt idx="7">
                  <c:v>72.18032973047436</c:v>
                </c:pt>
                <c:pt idx="8">
                  <c:v>68.24221567329127</c:v>
                </c:pt>
                <c:pt idx="9">
                  <c:v>71.58910531638176</c:v>
                </c:pt>
              </c:numCache>
            </c:numRef>
          </c:xVal>
          <c:yVal>
            <c:numRef>
              <c:f>Sheet1!$H$8:$H$17</c:f>
              <c:numCache>
                <c:formatCode>General</c:formatCode>
                <c:ptCount val="10"/>
                <c:pt idx="0">
                  <c:v>180</c:v>
                </c:pt>
                <c:pt idx="1">
                  <c:v>181</c:v>
                </c:pt>
                <c:pt idx="2">
                  <c:v>176</c:v>
                </c:pt>
                <c:pt idx="3">
                  <c:v>177</c:v>
                </c:pt>
                <c:pt idx="4">
                  <c:v>177</c:v>
                </c:pt>
                <c:pt idx="5">
                  <c:v>179</c:v>
                </c:pt>
                <c:pt idx="6">
                  <c:v>176</c:v>
                </c:pt>
                <c:pt idx="7">
                  <c:v>176</c:v>
                </c:pt>
                <c:pt idx="8">
                  <c:v>178</c:v>
                </c:pt>
                <c:pt idx="9">
                  <c:v>178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crossBetween val="midCat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lt"/>
                <a:cs typeface="+mn-lt"/>
              </a:rPr>
              <a:t>Relation between phase two time and distance between final and desired position 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scatterChart>
        <c:scatterStyle val="lineMarker"/>
        <c:ser>
          <c:idx val="0"/>
          <c:order val="0"/>
          <c:spPr>
            <a:ln xmlns:a="http://schemas.openxmlformats.org/drawingml/2006/main" w="19050">
              <a:noFill/>
            </a:ln>
          </c:spPr>
          <c:marker>
            <c:symbol val="circle"/>
            <c:size val="5"/>
          </c:marker>
          <c:trendline>
            <c:spPr>
              <a:ln xmlns:a="http://schemas.openxmlformats.org/drawingml/2006/main" w="28575">
                <a:solidFill>
                  <a:srgbClr val="FF0000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Sheet1!$M$8:$M$17</c:f>
              <c:numCache>
                <c:formatCode>General</c:formatCode>
                <c:ptCount val="10"/>
                <c:pt idx="0">
                  <c:v>260.0076921939041</c:v>
                </c:pt>
                <c:pt idx="1">
                  <c:v>577.0034661940949</c:v>
                </c:pt>
                <c:pt idx="2">
                  <c:v>432.001157405857</c:v>
                </c:pt>
                <c:pt idx="3">
                  <c:v>504.0039682383463</c:v>
                </c:pt>
                <c:pt idx="4">
                  <c:v>140.03213916812098</c:v>
                </c:pt>
                <c:pt idx="5">
                  <c:v>375.0053332954079</c:v>
                </c:pt>
                <c:pt idx="6">
                  <c:v>237.00210969525145</c:v>
                </c:pt>
                <c:pt idx="7">
                  <c:v>410.0048780197621</c:v>
                </c:pt>
                <c:pt idx="8">
                  <c:v>114.0175425099138</c:v>
                </c:pt>
                <c:pt idx="9">
                  <c:v>493.0040567784407</c:v>
                </c:pt>
              </c:numCache>
            </c:numRef>
          </c:xVal>
          <c:yVal>
            <c:numRef>
              <c:f>Sheet1!$N$8:$N$17</c:f>
              <c:numCache>
                <c:formatCode>General</c:formatCode>
                <c:ptCount val="10"/>
                <c:pt idx="0">
                  <c:v>122</c:v>
                </c:pt>
                <c:pt idx="1">
                  <c:v>121</c:v>
                </c:pt>
                <c:pt idx="2">
                  <c:v>121</c:v>
                </c:pt>
                <c:pt idx="3">
                  <c:v>123</c:v>
                </c:pt>
                <c:pt idx="4">
                  <c:v>120</c:v>
                </c:pt>
                <c:pt idx="5">
                  <c:v>121</c:v>
                </c:pt>
                <c:pt idx="6">
                  <c:v>122</c:v>
                </c:pt>
                <c:pt idx="7">
                  <c:v>121</c:v>
                </c:pt>
                <c:pt idx="8">
                  <c:v>120</c:v>
                </c:pt>
                <c:pt idx="9">
                  <c:v>122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crossBetween val="midCat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556260</xdr:colOff>
      <xdr:row>25</xdr:row>
      <xdr:rowOff>49530</xdr:rowOff>
    </xdr:from>
    <xdr:to>
      <xdr:col>8</xdr:col>
      <xdr:colOff>251460</xdr:colOff>
      <xdr:row>40</xdr:row>
      <xdr:rowOff>49530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8fdfcd840433e"/>
        </a:graphicData>
      </a:graphic>
    </xdr:graphicFrame>
    <xdr:clientData/>
  </xdr:twoCellAnchor>
  <xdr:twoCellAnchor>
    <xdr:from>
      <xdr:col>10</xdr:col>
      <xdr:colOff>30480</xdr:colOff>
      <xdr:row>25</xdr:row>
      <xdr:rowOff>64770</xdr:rowOff>
    </xdr:from>
    <xdr:to>
      <xdr:col>17</xdr:col>
      <xdr:colOff>160020</xdr:colOff>
      <xdr:row>40</xdr:row>
      <xdr:rowOff>64770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031692dd9442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256d6cf9f044ff" /></Relationships>
</file>

<file path=xl/worksheets/sheet1.xml><?xml version="1.0" encoding="utf-8"?>
<x:worksheet xmlns:x="http://schemas.openxmlformats.org/spreadsheetml/2006/main">
  <x:sheetFormatPr defaultRowHeight="14.399999618530273"/>
  <x:cols>
    <x:col min="13" max="13" width="11.44140625" customWidth="1"/>
  </x:cols>
  <x:sheetData>
    <x:row r="3" ht="15"/>
    <x:row r="4">
      <x:c r="D4" s="24" t="s">
        <x:v>0</x:v>
      </x:c>
      <x:c r="E4" s="25"/>
      <x:c r="F4" s="25"/>
      <x:c r="G4" s="25"/>
      <x:c r="H4" s="26"/>
      <x:c r="J4" s="24" t="s">
        <x:v>1</x:v>
      </x:c>
      <x:c r="K4" s="25"/>
      <x:c r="L4" s="25"/>
      <x:c r="M4" s="25"/>
      <x:c r="N4" s="26"/>
    </x:row>
    <x:row r="5" ht="15">
      <x:c r="D5" s="27"/>
      <x:c r="E5" s="28"/>
      <x:c r="F5" s="28"/>
      <x:c r="G5" s="28"/>
      <x:c r="H5" s="29"/>
      <x:c r="J5" s="27"/>
      <x:c r="K5" s="28"/>
      <x:c r="L5" s="28"/>
      <x:c r="M5" s="28"/>
      <x:c r="N5" s="29"/>
    </x:row>
    <x:row r="6" ht="15">
      <x:c r="D6" s="11" t="s">
        <x:v>2</x:v>
      </x:c>
      <x:c r="E6" s="30" t="s">
        <x:v>3</x:v>
      </x:c>
      <x:c r="F6" s="31"/>
      <x:c r="G6" s="11" t="s">
        <x:v>4</x:v>
      </x:c>
      <x:c r="H6" s="19" t="s">
        <x:v>5</x:v>
      </x:c>
      <x:c r="I6" s="2"/>
      <x:c r="J6" s="11" t="s">
        <x:v>2</x:v>
      </x:c>
      <x:c r="K6" s="30" t="s">
        <x:v>3</x:v>
      </x:c>
      <x:c r="L6" s="31"/>
      <x:c r="M6" s="11" t="s">
        <x:v>4</x:v>
      </x:c>
      <x:c r="N6" s="19" t="s">
        <x:v>5</x:v>
      </x:c>
    </x:row>
    <x:row r="7" ht="16.200000762939453">
      <x:c r="D7" s="12" t="s">
        <x:v>6</x:v>
      </x:c>
      <x:c r="E7" s="3" t="s">
        <x:v>7</x:v>
      </x:c>
      <x:c r="F7" s="4" t="s">
        <x:v>8</x:v>
      </x:c>
      <x:c r="G7" s="12" t="s">
        <x:v>9</x:v>
      </x:c>
      <x:c r="H7" s="20" t="s">
        <x:v>10</x:v>
      </x:c>
      <x:c r="I7" s="1"/>
      <x:c r="J7" s="12" t="s">
        <x:v>6</x:v>
      </x:c>
      <x:c r="K7" s="3" t="s">
        <x:v>7</x:v>
      </x:c>
      <x:c r="L7" s="4" t="s">
        <x:v>8</x:v>
      </x:c>
      <x:c r="M7" s="12" t="s">
        <x:v>9</x:v>
      </x:c>
      <x:c r="N7" s="20" t="s">
        <x:v>10</x:v>
      </x:c>
    </x:row>
    <x:row r="8" ht="15.600000381469727">
      <x:c r="D8" s="13">
        <x:v>1</x:v>
      </x:c>
      <x:c r="E8" s="5">
        <x:v>-1720</x:v>
      </x:c>
      <x:c r="F8" s="6">
        <x:v>-3650</x:v>
      </x:c>
      <x:c r="G8" s="13" t="n">
        <x:f>SQRT(((E8+1700)^2)+((F8+3800)^2))</x:f>
        <x:v>151.32745950421557</x:v>
      </x:c>
      <x:c r="H8" s="21">
        <x:v>180</x:v>
      </x:c>
      <x:c r="I8" s="1" t="n">
        <x:f>(G8-$G$18)*(H8-$H$18)</x:f>
        <x:v>66.77367113497994</x:v>
      </x:c>
      <x:c r="J8" s="13">
        <x:v>1</x:v>
      </x:c>
      <x:c r="K8" s="5">
        <x:v>-2360</x:v>
      </x:c>
      <x:c r="L8" s="6">
        <x:v>-498</x:v>
      </x:c>
      <x:c r="M8" s="13" t="n">
        <x:f>SQRT(((K8-(-2100))^2)+((L8-(-500))^2))</x:f>
        <x:v>260.0076921939041</x:v>
      </x:c>
      <x:c r="N8" s="21">
        <x:v>122</x:v>
      </x:c>
      <x:c r="O8" t="n">
        <x:f>(M8-$M$18)*(N8-$N$18)</x:f>
        <x:v>-65.94037950920435</x:v>
      </x:c>
    </x:row>
    <x:row r="9" ht="15.600000381469727">
      <x:c r="D9" s="14">
        <x:v>2</x:v>
      </x:c>
      <x:c r="E9" s="7">
        <x:v>-1717</x:v>
      </x:c>
      <x:c r="F9" s="8">
        <x:v>-3635</x:v>
      </x:c>
      <x:c r="G9" s="13" t="n">
        <x:f t="shared" ref="G9:G17" si="0">SQRT(((E9+1700)^2)+((F9+3800)^2))</x:f>
        <x:v>165.873445734994</x:v>
      </x:c>
      <x:c r="H9" s="22">
        <x:v>181</x:v>
      </x:c>
      <x:c r="I9" s="1" t="n">
        <x:f t="shared" ref="I9:I17" si="1">(G9-$G$18)*(H9-$H$18)</x:f>
        <x:v>143.67249577118903</x:v>
      </x:c>
      <x:c r="J9" s="14">
        <x:v>2</x:v>
      </x:c>
      <x:c r="K9" s="7">
        <x:v>-2677</x:v>
      </x:c>
      <x:c r="L9" s="8">
        <x:v>-498</x:v>
      </x:c>
      <x:c r="M9" s="13" t="n">
        <x:f t="shared" ref="M9:M17" si="2">SQRT(((K9-(-2100))^2)+((L9-(-500))^2))</x:f>
        <x:v>577.0034661940949</x:v>
      </x:c>
      <x:c r="N9" s="22">
        <x:v>121</x:v>
      </x:c>
      <x:c r="O9" t="n">
        <x:f t="shared" ref="O9:O17" si="3">(M9-$M$18)*(N9-$N$18)</x:f>
        <x:v>-66.83856955325486</x:v>
      </x:c>
    </x:row>
    <x:row r="10" ht="15.600000381469727">
      <x:c r="D10" s="14">
        <x:v>3</x:v>
      </x:c>
      <x:c r="E10" s="7">
        <x:v>-1714</x:v>
      </x:c>
      <x:c r="F10" s="8">
        <x:v>-3657</x:v>
      </x:c>
      <x:c r="G10" s="13">
        <x:f t="shared" si="0"/>
        <x:v>143.68368035375485</x:v>
      </x:c>
      <x:c r="H10" s="22">
        <x:v>176</x:v>
      </x:c>
      <x:c r="I10" s="1">
        <x:f t="shared" si="1"/>
        <x:v>-40.874201185063924</x:v>
      </x:c>
      <x:c r="J10" s="14">
        <x:v>3</x:v>
      </x:c>
      <x:c r="K10" s="7">
        <x:v>-2532</x:v>
      </x:c>
      <x:c r="L10" s="8">
        <x:v>-499</x:v>
      </x:c>
      <x:c r="M10" s="13">
        <x:f t="shared" si="2"/>
        <x:v>432.00115740585699</x:v>
      </x:c>
      <x:c r="N10" s="22">
        <x:v>121</x:v>
      </x:c>
      <x:c r="O10">
        <x:f t="shared" si="3"/>
        <x:v>-23.337876916783888</x:v>
      </x:c>
    </x:row>
    <x:row r="11" ht="15.600000381469727">
      <x:c r="D11" s="14">
        <x:v>4</x:v>
      </x:c>
      <x:c r="E11" s="7">
        <x:v>-1727</x:v>
      </x:c>
      <x:c r="F11" s="8">
        <x:v>-3650</x:v>
      </x:c>
      <x:c r="G11" s="13">
        <x:f t="shared" si="0"/>
        <x:v>152.41062955056645</x:v>
      </x:c>
      <x:c r="H11" s="22">
        <x:v>177</x:v>
      </x:c>
      <x:c r="I11" s="1">
        <x:f t="shared" si="1"/>
        <x:v>-25.147870995255715</x:v>
      </x:c>
      <x:c r="J11" s="14">
        <x:v>4</x:v>
      </x:c>
      <x:c r="K11" s="7">
        <x:v>-2604</x:v>
      </x:c>
      <x:c r="L11" s="8">
        <x:v>-498</x:v>
      </x:c>
      <x:c r="M11" s="13">
        <x:f t="shared" si="2"/>
        <x:v>504.00396823834632</x:v>
      </x:c>
      <x:c r="N11" s="22">
        <x:v>123</x:v>
      </x:c>
      <x:c r="O11">
        <x:f t="shared" si="3"/>
        <x:v>254.65274761034223</x:v>
      </x:c>
    </x:row>
    <x:row r="12" ht="15.600000381469727">
      <x:c r="D12" s="14">
        <x:v>5</x:v>
      </x:c>
      <x:c r="E12" s="7">
        <x:v>-1711</x:v>
      </x:c>
      <x:c r="F12" s="8">
        <x:v>-3640</x:v>
      </x:c>
      <x:c r="G12" s="13">
        <x:f t="shared" si="0"/>
        <x:v>160.37767924496225</x:v>
      </x:c>
      <x:c r="H12" s="22">
        <x:v>177</x:v>
      </x:c>
      <x:c r="I12" s="1">
        <x:f t="shared" si="1"/>
        <x:v>-31.521510750772443</x:v>
      </x:c>
      <x:c r="J12" s="14">
        <x:v>5</x:v>
      </x:c>
      <x:c r="K12" s="7">
        <x:v>-2240</x:v>
      </x:c>
      <x:c r="L12" s="8">
        <x:v>-497</x:v>
      </x:c>
      <x:c r="M12" s="13">
        <x:f t="shared" si="2"/>
        <x:v>140.03213916812098</x:v>
      </x:c>
      <x:c r="N12" s="22">
        <x:v>120</x:v>
      </x:c>
      <x:c r="O12">
        <x:f t="shared" si="3"/>
        <x:v>278.42892373632509</x:v>
      </x:c>
    </x:row>
    <x:row r="13" ht="15.600000381469727">
      <x:c r="D13" s="14">
        <x:v>6</x:v>
      </x:c>
      <x:c r="E13" s="7">
        <x:v>-1724</x:v>
      </x:c>
      <x:c r="F13" s="8">
        <x:v>-3639</x:v>
      </x:c>
      <x:c r="G13" s="13">
        <x:f t="shared" si="0"/>
        <x:v>162.77899127344412</x:v>
      </x:c>
      <x:c r="H13" s="22">
        <x:v>179</x:v>
      </x:c>
      <x:c r="I13" s="1">
        <x:f t="shared" si="1"/>
        <x:v>50.163840560335757</x:v>
      </x:c>
      <x:c r="J13" s="14">
        <x:v>6</x:v>
      </x:c>
      <x:c r="K13" s="7">
        <x:v>-2475</x:v>
      </x:c>
      <x:c r="L13" s="8">
        <x:v>-498</x:v>
      </x:c>
      <x:c r="M13" s="13">
        <x:f t="shared" si="2"/>
        <x:v>375.00533329540792</x:v>
      </x:c>
      <x:c r="N13" s="22">
        <x:v>121</x:v>
      </x:c>
      <x:c r="O13">
        <x:f t="shared" si="3"/>
        <x:v>-6.2391296836493302</x:v>
      </x:c>
    </x:row>
    <x:row r="14" ht="15.600000381469727">
      <x:c r="D14" s="14">
        <x:v>7</x:v>
      </x:c>
      <x:c r="E14" s="7">
        <x:v>-1666</x:v>
      </x:c>
      <x:c r="F14" s="8">
        <x:v>-3749</x:v>
      </x:c>
      <x:c r="G14" s="13">
        <x:f t="shared" si="0"/>
        <x:v>61.294371682887821</x:v>
      </x:c>
      <x:c r="H14" s="22">
        <x:v>176</x:v>
      </x:c>
      <x:c r="I14" s="1">
        <x:f t="shared" si="1"/>
        <x:v>107.42655442249766</x:v>
      </x:c>
      <x:c r="J14" s="14">
        <x:v>7</x:v>
      </x:c>
      <x:c r="K14" s="7">
        <x:v>-2337</x:v>
      </x:c>
      <x:c r="L14" s="8">
        <x:v>-499</x:v>
      </x:c>
      <x:c r="M14" s="13">
        <x:f t="shared" si="2"/>
        <x:v>237.00210969525145</x:v>
      </x:c>
      <x:c r="N14" s="22">
        <x:v>122</x:v>
      </x:c>
      <x:c r="O14">
        <x:f t="shared" si="3"/>
        <x:v>-82.044287258261292</x:v>
      </x:c>
    </x:row>
    <x:row r="15" ht="15.600000381469727">
      <x:c r="D15" s="14">
        <x:v>8</x:v>
      </x:c>
      <x:c r="E15" s="7">
        <x:v>-1651</x:v>
      </x:c>
      <x:c r="F15" s="8">
        <x:v>-3747</x:v>
      </x:c>
      <x:c r="G15" s="13">
        <x:f t="shared" si="0"/>
        <x:v>72.180329730474355</x:v>
      </x:c>
      <x:c r="H15" s="22">
        <x:v>176</x:v>
      </x:c>
      <x:c r="I15" s="1">
        <x:f t="shared" si="1"/>
        <x:v>87.831829936841785</x:v>
      </x:c>
      <x:c r="J15" s="14">
        <x:v>8</x:v>
      </x:c>
      <x:c r="K15" s="7">
        <x:v>-2510</x:v>
      </x:c>
      <x:c r="L15" s="8">
        <x:v>-498</x:v>
      </x:c>
      <x:c r="M15" s="13">
        <x:f t="shared" si="2"/>
        <x:v>410.00487801976209</x:v>
      </x:c>
      <x:c r="N15" s="22">
        <x:v>121</x:v>
      </x:c>
      <x:c r="O15">
        <x:f t="shared" si="3"/>
        <x:v>-16.738993100955479</x:v>
      </x:c>
    </x:row>
    <x:row r="16" ht="15.600000381469727">
      <x:c r="D16" s="14">
        <x:v>9</x:v>
      </x:c>
      <x:c r="E16" s="7">
        <x:v>-1661</x:v>
      </x:c>
      <x:c r="F16" s="8">
        <x:v>-3856</x:v>
      </x:c>
      <x:c r="G16" s="13">
        <x:f t="shared" si="0"/>
        <x:v>68.24221567329127</x:v>
      </x:c>
      <x:c r="H16" s="22">
        <x:v>178</x:v>
      </x:c>
      <x:c r="I16" s="1">
        <x:f t="shared" si="1"/>
        <x:v>-10.546715026640598</x:v>
      </x:c>
      <x:c r="J16" s="14">
        <x:v>9</x:v>
      </x:c>
      <x:c r="K16" s="7">
        <x:v>-2214</x:v>
      </x:c>
      <x:c r="L16" s="8">
        <x:v>-498</x:v>
      </x:c>
      <x:c r="M16" s="13">
        <x:f t="shared" si="2"/>
        <x:v>114.0175425099138</x:v>
      </x:c>
      <x:c r="N16" s="22">
        <x:v>120</x:v>
      </x:c>
      <x:c r="O16">
        <x:f t="shared" si="3"/>
        <x:v>312.24789939199434</x:v>
      </x:c>
    </x:row>
    <x:row r="17" ht="16.200000762939453">
      <x:c r="D17" s="15">
        <x:v>10</x:v>
      </x:c>
      <x:c r="E17" s="9">
        <x:v>-1646</x:v>
      </x:c>
      <x:c r="F17" s="10">
        <x:v>-3753</x:v>
      </x:c>
      <x:c r="G17" s="13">
        <x:f t="shared" si="0"/>
        <x:v>71.589105316381762</x:v>
      </x:c>
      <x:c r="H17" s="23">
        <x:v>178</x:v>
      </x:c>
      <x:c r="I17" s="1">
        <x:f t="shared" si="1"/>
        <x:v>-9.8773370980225383</x:v>
      </x:c>
      <x:c r="J17" s="15">
        <x:v>10</x:v>
      </x:c>
      <x:c r="K17" s="9">
        <x:v>-2593</x:v>
      </x:c>
      <x:c r="L17" s="10">
        <x:v>-498</x:v>
      </x:c>
      <x:c r="M17" s="13">
        <x:f t="shared" si="2"/>
        <x:v>493.00405677844071</x:v>
      </x:c>
      <x:c r="N17" s="23">
        <x:v>122</x:v>
      </x:c>
      <x:c r="O17">
        <x:f t="shared" si="3"/>
        <x:v>97.157075699971926</x:v>
      </x:c>
    </x:row>
    <x:row r="18" ht="15.600000381469727">
      <x:c r="D18" s="16" t="s">
        <x:v>11</x:v>
      </x:c>
      <x:c r="E18" s="18" t="n">
        <x:f>AVERAGE(E8:E17)</x:f>
        <x:v>-1693.7</x:v>
      </x:c>
      <x:c r="F18" s="18" t="n">
        <x:f t="shared" ref="F18:H18" si="4">AVERAGE(F8:F17)</x:f>
        <x:v>-3697.6</x:v>
      </x:c>
      <x:c r="G18" s="18">
        <x:f t="shared" si="4"/>
        <x:v>120.97579080649726</x:v>
      </x:c>
      <x:c r="H18" s="18">
        <x:f t="shared" si="4"/>
        <x:v>177.8</x:v>
      </x:c>
      <x:c r="I18" s="1"/>
      <x:c r="J18" s="16" t="s">
        <x:v>11</x:v>
      </x:c>
      <x:c r="K18" s="18" t="n">
        <x:f>AVERAGE(K8:K17)</x:f>
        <x:v>-2454.2</x:v>
      </x:c>
      <x:c r="L18" s="18" t="n">
        <x:f t="shared" ref="L18:N18" si="5">AVERAGE(L8:L17)</x:f>
        <x:v>-498.1</x:v>
      </x:c>
      <x:c r="M18" s="18">
        <x:f t="shared" si="5"/>
        <x:v>354.20823434990996</x:v>
      </x:c>
      <x:c r="N18" s="18">
        <x:f t="shared" si="5"/>
        <x:v>121.3</x:v>
      </x:c>
    </x:row>
    <x:row r="19" ht="16.200000762939453">
      <x:c r="D19" s="17" t="s">
        <x:v>12</x:v>
      </x:c>
      <x:c r="E19" s="9" t="n">
        <x:f>_xlfn.STDEV.S(E8:E17)</x:f>
        <x:v>33.17981313991988</x:v>
      </x:c>
      <x:c r="F19" s="9" t="n">
        <x:f t="shared" ref="F19:H19" si="6">_xlfn.STDEV.S(F8:F17)</x:f>
        <x:v>74.60443835471334</x:v>
      </x:c>
      <x:c r="G19" s="9">
        <x:f t="shared" si="6"/>
        <x:v>45.830097325067136</x:v>
      </x:c>
      <x:c r="H19" s="9">
        <x:f t="shared" si="6"/>
        <x:v>1.7511900715418263</x:v>
      </x:c>
      <x:c r="I19" s="1"/>
      <x:c r="J19" s="17" t="s">
        <x:v>12</x:v>
      </x:c>
      <x:c r="K19" s="9" t="n">
        <x:f>_xlfn.STDEV.S(K8:K17)</x:f>
        <x:v>158.86108536845782</x:v>
      </x:c>
      <x:c r="L19" s="9" t="n">
        <x:f t="shared" ref="L19:N19" si="7">_xlfn.STDEV.S(L8:L17)</x:f>
        <x:v>0.5676462121975467</x:v>
      </x:c>
      <x:c r="M19" s="9">
        <x:f t="shared" si="7"/>
        <x:v>158.85432431675423</x:v>
      </x:c>
      <x:c r="N19" s="9">
        <x:f t="shared" si="7"/>
        <x:v>0.94868329805051377</x:v>
      </x:c>
    </x:row>
    <x:row r="21">
      <x:c r="F21" t="s">
        <x:v>13</x:v>
      </x:c>
      <x:c r="G21" t="n">
        <x:f>SUM(I8:I17)/9</x:f>
        <x:v>37.544528530009885</x:v>
      </x:c>
      <x:c r="L21" t="s">
        <x:v>13</x:v>
      </x:c>
      <x:c r="M21" t="n">
        <x:f>SUM(O8:O17)/9</x:f>
        <x:v>75.70526782405825</x:v>
      </x:c>
    </x:row>
    <x:row r="22">
      <x:c r="F22" t="s">
        <x:v>14</x:v>
      </x:c>
      <x:c r="G22" t="n">
        <x:f>G21/(G19*H19)</x:f>
        <x:v>0.4678025546713233</x:v>
      </x:c>
      <x:c r="L22" t="s">
        <x:v>14</x:v>
      </x:c>
      <x:c r="M22" t="n">
        <x:f>M21/(M19*N19)</x:f>
        <x:v>0.5023493027899777</x:v>
      </x:c>
    </x:row>
  </x:sheetData>
  <x:mergeCells>
    <x:mergeCell ref="D4:H5"/>
    <x:mergeCell ref="J4:N5"/>
    <x:mergeCell ref="E6:F6"/>
    <x:mergeCell ref="K6:L6"/>
  </x:mergeCells>
  <x:pageMargins left="0.7" right="0.7" top="0.75" bottom="0.75" header="0.3" footer="0.3"/>
  <x:drawing xmlns:r="http://schemas.openxmlformats.org/officeDocument/2006/relationships" r:id="R70256d6cf9f044ff"/>
</x:worksheet>
</file>